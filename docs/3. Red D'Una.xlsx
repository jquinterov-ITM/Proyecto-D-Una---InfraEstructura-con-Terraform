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https://correoitmedu-my.sharepoint.com/personal/jhonatanquintero106179_correo_itm_edu_co/Documents/ITM - Especializacion/1. Seminario II - Profundizacion/"/>
    </mc:Choice>
  </mc:AlternateContent>
  <xr:revisionPtr revIDLastSave="888" documentId="11_C0FFFC981BC12D209E821B3559ED48BA6BA757B0" xr6:coauthVersionLast="47" xr6:coauthVersionMax="47" xr10:uidLastSave="{FA941940-BFAF-4F70-9F88-3375924AC9BB}"/>
  <bookViews>
    <workbookView xWindow="10584" yWindow="12852" windowWidth="23256" windowHeight="13896" xr2:uid="{00000000-000D-0000-FFFF-FFFF00000000}"/>
  </bookViews>
  <sheets>
    <sheet name="DireccionamientoIP" sheetId="1" r:id="rId1"/>
    <sheet name="Subnet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5" i="1" l="1"/>
  <c r="V5" i="2"/>
  <c r="Y5" i="1"/>
  <c r="Q5" i="1"/>
  <c r="I5" i="1"/>
  <c r="A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tc={2BC5FEB3-FD3A-446C-B5A0-ACD279F28CE5}</author>
    <author>tc={19C5C1C9-BBFC-4974-A88A-AB647CA1844D}</author>
    <author>tc={957FF383-43F2-43B7-9656-8B9971E97023}</author>
    <author>tc={759C086C-DD96-49DF-998A-2F2C1799EBCC}</author>
  </authors>
  <commentList>
    <comment ref="A15" authorId="0" shapeId="0" xr:uid="{2BC5FEB3-FD3A-446C-B5A0-ACD279F28CE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PUBLICA
Hosts</t>
      </text>
    </comment>
    <comment ref="A17" authorId="1" shapeId="0" xr:uid="{19C5C1C9-BBFC-4974-A88A-AB647CA1844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PRIVADA
Back</t>
      </text>
    </comment>
    <comment ref="A19" authorId="2" shapeId="0" xr:uid="{957FF383-43F2-43B7-9656-8B9971E9702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PRIVADA
DB</t>
      </text>
    </comment>
    <comment ref="A21" authorId="3" shapeId="0" xr:uid="{759C086C-DD96-49DF-998A-2F2C1799EBC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Users</t>
      </text>
    </comment>
  </commentList>
</comments>
</file>

<file path=xl/sharedStrings.xml><?xml version="1.0" encoding="utf-8"?>
<sst xmlns="http://schemas.openxmlformats.org/spreadsheetml/2006/main" count="95" uniqueCount="62">
  <si>
    <t>Octeto 1</t>
  </si>
  <si>
    <t>Octeto 2</t>
  </si>
  <si>
    <t>Octeto 3</t>
  </si>
  <si>
    <t>Octeto 4</t>
  </si>
  <si>
    <t>Red</t>
  </si>
  <si>
    <t>Subred</t>
  </si>
  <si>
    <t>Host</t>
  </si>
  <si>
    <t>ID Red</t>
  </si>
  <si>
    <t>Broadcast</t>
  </si>
  <si>
    <t>Clase</t>
  </si>
  <si>
    <t>Rango de direccionamiento</t>
  </si>
  <si>
    <t>Máscara</t>
  </si>
  <si>
    <t>Cantidad máxima de hosts</t>
  </si>
  <si>
    <t>C</t>
  </si>
  <si>
    <t>192.168.0.0</t>
  </si>
  <si>
    <t>-</t>
  </si>
  <si>
    <t>192.168.255.255</t>
  </si>
  <si>
    <t>Hasta /24</t>
  </si>
  <si>
    <t>2^8</t>
  </si>
  <si>
    <t>B</t>
  </si>
  <si>
    <t>172.16.0.0</t>
  </si>
  <si>
    <t>172.31.255.255</t>
  </si>
  <si>
    <t>Hasta /16</t>
  </si>
  <si>
    <t>2^16</t>
  </si>
  <si>
    <t>A</t>
  </si>
  <si>
    <t>10.0.0.0</t>
  </si>
  <si>
    <t>10.255.255.255</t>
  </si>
  <si>
    <t>Hasta /8</t>
  </si>
  <si>
    <t>2^24</t>
  </si>
  <si>
    <t>Back</t>
  </si>
  <si>
    <t>DB</t>
  </si>
  <si>
    <t>/26</t>
  </si>
  <si>
    <t>FINAL</t>
  </si>
  <si>
    <t>PUBLICA</t>
  </si>
  <si>
    <t>PRIVADA</t>
  </si>
  <si>
    <t>/25</t>
  </si>
  <si>
    <t>User</t>
  </si>
  <si>
    <t>Hosts - GW</t>
  </si>
  <si>
    <t>/22</t>
  </si>
  <si>
    <t>172.16.20.0/22</t>
  </si>
  <si>
    <t>172.16.23.255/22</t>
  </si>
  <si>
    <t>172.16.20.0/25</t>
  </si>
  <si>
    <t>172.16.20.127/25</t>
  </si>
  <si>
    <t>172.16.20.128/25</t>
  </si>
  <si>
    <t>172.16.20.255/25</t>
  </si>
  <si>
    <t>172.16.21.0/25</t>
  </si>
  <si>
    <t>172.16.21.127/25</t>
  </si>
  <si>
    <t>172.16.21.128/25</t>
  </si>
  <si>
    <t>172.16.21.255/25</t>
  </si>
  <si>
    <t>172.16.22.0/26</t>
  </si>
  <si>
    <t>172.16.22.63/26</t>
  </si>
  <si>
    <t>172.16.22.64/26</t>
  </si>
  <si>
    <t>172.16.22.127/26</t>
  </si>
  <si>
    <t>172.16.22.128/26</t>
  </si>
  <si>
    <t>172.16.22.191/26</t>
  </si>
  <si>
    <t>172.16.22.255/26</t>
  </si>
  <si>
    <t>172.16.22.192/26</t>
  </si>
  <si>
    <t xml:space="preserve"> /22</t>
  </si>
  <si>
    <t xml:space="preserve"> /23</t>
  </si>
  <si>
    <t xml:space="preserve"> /25</t>
  </si>
  <si>
    <t xml:space="preserve"> /26</t>
  </si>
  <si>
    <t xml:space="preserve"> 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</si>
</sst>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4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27"/>
      <color theme="1"/>
      <name val="Arial"/>
      <scheme val="minor"/>
    </font>
    <font>
      <sz val="29"/>
      <color rgb="FFFF0000"/>
      <name val="Arial"/>
      <scheme val="minor"/>
    </font>
    <font>
      <sz val="27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E6B8AF"/>
        <bgColor rgb="FFE6B8AF"/>
      </patternFill>
    </fill>
    <fill>
      <patternFill patternType="solid">
        <fgColor theme="4"/>
        <bgColor theme="4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4A86E8"/>
        <bgColor rgb="FF4A86E8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14999847407452621"/>
        <bgColor indexed="64"/>
      </patternFill>
    </fill>
  </fills>
  <borders count="4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 applyFont="1" applyAlignment="1"/>
    <xf numFmtId="0" fontId="3" fillId="0" borderId="0" xfId="0" applyFont="1" applyAlignment="1"/>
    <xf numFmtId="0" fontId="3" fillId="0" borderId="4" xfId="0" applyFont="1" applyBorder="1" applyAlignment="1"/>
    <xf numFmtId="0" fontId="3" fillId="5" borderId="4" xfId="0" applyFont="1" applyFill="1" applyBorder="1" applyAlignment="1"/>
    <xf numFmtId="0" fontId="6" fillId="0" borderId="0" xfId="0" applyFont="1" applyAlignment="1"/>
    <xf numFmtId="0" fontId="3" fillId="0" borderId="4" xfId="0" applyFont="1" applyBorder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/>
    <xf numFmtId="0" fontId="3" fillId="0" borderId="8" xfId="0" applyFont="1" applyBorder="1"/>
    <xf numFmtId="0" fontId="7" fillId="0" borderId="9" xfId="0" applyFont="1" applyBorder="1" applyAlignment="1"/>
    <xf numFmtId="0" fontId="8" fillId="0" borderId="9" xfId="0" applyFont="1" applyBorder="1" applyAlignment="1"/>
    <xf numFmtId="0" fontId="0" fillId="9" borderId="0" xfId="0" applyFont="1" applyFill="1" applyAlignment="1">
      <alignment horizontal="center" vertical="center"/>
    </xf>
    <xf numFmtId="0" fontId="0" fillId="0" borderId="0" xfId="0" applyFont="1" applyBorder="1" applyAlignment="1"/>
    <xf numFmtId="0" fontId="0" fillId="0" borderId="10" xfId="0" applyFont="1" applyBorder="1" applyAlignment="1"/>
    <xf numFmtId="0" fontId="3" fillId="0" borderId="12" xfId="0" applyFont="1" applyBorder="1"/>
    <xf numFmtId="0" fontId="3" fillId="0" borderId="12" xfId="0" applyFont="1" applyBorder="1" applyAlignment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4" xfId="0" applyFont="1" applyBorder="1" applyAlignment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0" fillId="0" borderId="19" xfId="0" applyFont="1" applyBorder="1" applyAlignment="1"/>
    <xf numFmtId="0" fontId="0" fillId="0" borderId="12" xfId="0" applyFont="1" applyBorder="1" applyAlignment="1"/>
    <xf numFmtId="0" fontId="0" fillId="0" borderId="0" xfId="0" applyFont="1" applyAlignment="1"/>
    <xf numFmtId="0" fontId="0" fillId="0" borderId="0" xfId="0" quotePrefix="1" applyFont="1" applyAlignment="1"/>
    <xf numFmtId="0" fontId="10" fillId="10" borderId="0" xfId="0" quotePrefix="1" applyFont="1" applyFill="1" applyAlignment="1"/>
    <xf numFmtId="0" fontId="10" fillId="11" borderId="0" xfId="0" quotePrefix="1" applyFont="1" applyFill="1" applyAlignment="1"/>
    <xf numFmtId="0" fontId="3" fillId="0" borderId="31" xfId="0" applyFont="1" applyBorder="1"/>
    <xf numFmtId="0" fontId="3" fillId="0" borderId="11" xfId="0" applyFont="1" applyBorder="1" applyAlignment="1"/>
    <xf numFmtId="0" fontId="3" fillId="0" borderId="32" xfId="0" applyFont="1" applyBorder="1"/>
    <xf numFmtId="0" fontId="3" fillId="0" borderId="33" xfId="0" applyFont="1" applyBorder="1" applyAlignment="1"/>
    <xf numFmtId="0" fontId="3" fillId="0" borderId="34" xfId="0" applyFont="1" applyBorder="1" applyAlignment="1"/>
    <xf numFmtId="0" fontId="3" fillId="0" borderId="35" xfId="0" applyFont="1" applyBorder="1"/>
    <xf numFmtId="0" fontId="0" fillId="0" borderId="14" xfId="0" applyFont="1" applyBorder="1" applyAlignment="1"/>
    <xf numFmtId="0" fontId="0" fillId="0" borderId="18" xfId="0" applyFont="1" applyBorder="1" applyAlignment="1"/>
    <xf numFmtId="0" fontId="10" fillId="12" borderId="0" xfId="0" quotePrefix="1" applyFont="1" applyFill="1" applyBorder="1" applyAlignment="1"/>
    <xf numFmtId="0" fontId="10" fillId="12" borderId="11" xfId="0" quotePrefix="1" applyFont="1" applyFill="1" applyBorder="1" applyAlignment="1"/>
    <xf numFmtId="0" fontId="10" fillId="12" borderId="12" xfId="0" quotePrefix="1" applyFont="1" applyFill="1" applyBorder="1" applyAlignment="1"/>
    <xf numFmtId="0" fontId="10" fillId="12" borderId="14" xfId="0" quotePrefix="1" applyFont="1" applyFill="1" applyBorder="1" applyAlignment="1"/>
    <xf numFmtId="0" fontId="10" fillId="12" borderId="15" xfId="0" quotePrefix="1" applyFont="1" applyFill="1" applyBorder="1" applyAlignment="1"/>
    <xf numFmtId="0" fontId="10" fillId="12" borderId="18" xfId="0" quotePrefix="1" applyFont="1" applyFill="1" applyBorder="1" applyAlignment="1"/>
    <xf numFmtId="0" fontId="10" fillId="12" borderId="19" xfId="0" quotePrefix="1" applyFont="1" applyFill="1" applyBorder="1" applyAlignment="1"/>
    <xf numFmtId="0" fontId="10" fillId="12" borderId="20" xfId="0" quotePrefix="1" applyFont="1" applyFill="1" applyBorder="1" applyAlignment="1"/>
    <xf numFmtId="0" fontId="10" fillId="12" borderId="13" xfId="0" quotePrefix="1" applyFont="1" applyFill="1" applyBorder="1" applyAlignment="1"/>
    <xf numFmtId="0" fontId="0" fillId="13" borderId="0" xfId="0" applyFont="1" applyFill="1" applyAlignment="1"/>
    <xf numFmtId="0" fontId="0" fillId="13" borderId="11" xfId="0" applyFont="1" applyFill="1" applyBorder="1" applyAlignment="1"/>
    <xf numFmtId="0" fontId="0" fillId="13" borderId="12" xfId="0" applyFont="1" applyFill="1" applyBorder="1" applyAlignment="1"/>
    <xf numFmtId="0" fontId="0" fillId="13" borderId="14" xfId="0" applyFont="1" applyFill="1" applyBorder="1" applyAlignment="1"/>
    <xf numFmtId="0" fontId="0" fillId="13" borderId="0" xfId="0" applyFont="1" applyFill="1" applyBorder="1" applyAlignment="1"/>
    <xf numFmtId="0" fontId="0" fillId="13" borderId="18" xfId="0" applyFont="1" applyFill="1" applyBorder="1" applyAlignment="1"/>
    <xf numFmtId="0" fontId="0" fillId="13" borderId="19" xfId="0" applyFont="1" applyFill="1" applyBorder="1" applyAlignment="1"/>
    <xf numFmtId="0" fontId="10" fillId="13" borderId="0" xfId="0" quotePrefix="1" applyFont="1" applyFill="1" applyBorder="1" applyAlignment="1"/>
    <xf numFmtId="0" fontId="10" fillId="13" borderId="19" xfId="0" quotePrefix="1" applyFont="1" applyFill="1" applyBorder="1" applyAlignment="1"/>
    <xf numFmtId="0" fontId="10" fillId="11" borderId="0" xfId="0" quotePrefix="1" applyFont="1" applyFill="1" applyBorder="1" applyAlignment="1"/>
    <xf numFmtId="0" fontId="10" fillId="10" borderId="0" xfId="0" quotePrefix="1" applyFont="1" applyFill="1" applyBorder="1" applyAlignment="1"/>
    <xf numFmtId="0" fontId="10" fillId="11" borderId="11" xfId="0" quotePrefix="1" applyFont="1" applyFill="1" applyBorder="1" applyAlignment="1"/>
    <xf numFmtId="0" fontId="10" fillId="11" borderId="13" xfId="0" quotePrefix="1" applyFont="1" applyFill="1" applyBorder="1" applyAlignment="1"/>
    <xf numFmtId="0" fontId="10" fillId="11" borderId="18" xfId="0" quotePrefix="1" applyFont="1" applyFill="1" applyBorder="1" applyAlignment="1"/>
    <xf numFmtId="0" fontId="10" fillId="11" borderId="20" xfId="0" quotePrefix="1" applyFont="1" applyFill="1" applyBorder="1" applyAlignment="1"/>
    <xf numFmtId="0" fontId="10" fillId="10" borderId="11" xfId="0" quotePrefix="1" applyFont="1" applyFill="1" applyBorder="1" applyAlignment="1"/>
    <xf numFmtId="0" fontId="10" fillId="10" borderId="13" xfId="0" quotePrefix="1" applyFont="1" applyFill="1" applyBorder="1" applyAlignment="1"/>
    <xf numFmtId="0" fontId="10" fillId="10" borderId="14" xfId="0" quotePrefix="1" applyFont="1" applyFill="1" applyBorder="1" applyAlignment="1"/>
    <xf numFmtId="0" fontId="10" fillId="10" borderId="15" xfId="0" quotePrefix="1" applyFont="1" applyFill="1" applyBorder="1" applyAlignment="1"/>
    <xf numFmtId="0" fontId="10" fillId="10" borderId="18" xfId="0" quotePrefix="1" applyFont="1" applyFill="1" applyBorder="1" applyAlignment="1"/>
    <xf numFmtId="0" fontId="10" fillId="10" borderId="20" xfId="0" quotePrefix="1" applyFont="1" applyFill="1" applyBorder="1" applyAlignment="1"/>
    <xf numFmtId="0" fontId="0" fillId="0" borderId="11" xfId="0" applyFont="1" applyBorder="1" applyAlignment="1"/>
    <xf numFmtId="0" fontId="0" fillId="0" borderId="13" xfId="0" applyFont="1" applyBorder="1" applyAlignment="1"/>
    <xf numFmtId="0" fontId="0" fillId="0" borderId="15" xfId="0" applyFont="1" applyBorder="1" applyAlignment="1"/>
    <xf numFmtId="0" fontId="0" fillId="0" borderId="20" xfId="0" applyFont="1" applyBorder="1" applyAlignment="1"/>
    <xf numFmtId="0" fontId="9" fillId="0" borderId="0" xfId="0" applyFont="1" applyBorder="1" applyAlignment="1"/>
    <xf numFmtId="0" fontId="8" fillId="0" borderId="0" xfId="0" applyFont="1" applyBorder="1" applyAlignment="1"/>
    <xf numFmtId="0" fontId="3" fillId="0" borderId="3" xfId="0" applyFont="1" applyBorder="1" applyAlignment="1"/>
    <xf numFmtId="0" fontId="3" fillId="0" borderId="36" xfId="0" applyFont="1" applyBorder="1" applyAlignment="1"/>
    <xf numFmtId="0" fontId="3" fillId="0" borderId="37" xfId="0" applyFont="1" applyBorder="1" applyAlignment="1"/>
    <xf numFmtId="0" fontId="3" fillId="3" borderId="38" xfId="0" applyFont="1" applyFill="1" applyBorder="1" applyAlignment="1"/>
    <xf numFmtId="0" fontId="3" fillId="3" borderId="39" xfId="0" applyFont="1" applyFill="1" applyBorder="1" applyAlignment="1"/>
    <xf numFmtId="0" fontId="3" fillId="3" borderId="40" xfId="0" applyFont="1" applyFill="1" applyBorder="1" applyAlignment="1"/>
    <xf numFmtId="0" fontId="3" fillId="4" borderId="3" xfId="0" applyFont="1" applyFill="1" applyBorder="1" applyAlignment="1"/>
    <xf numFmtId="0" fontId="3" fillId="4" borderId="39" xfId="0" applyFont="1" applyFill="1" applyBorder="1" applyAlignment="1"/>
    <xf numFmtId="0" fontId="3" fillId="4" borderId="40" xfId="0" applyFont="1" applyFill="1" applyBorder="1" applyAlignment="1"/>
    <xf numFmtId="0" fontId="3" fillId="0" borderId="1" xfId="0" applyFont="1" applyBorder="1"/>
    <xf numFmtId="0" fontId="9" fillId="0" borderId="29" xfId="0" applyFont="1" applyBorder="1" applyAlignment="1">
      <alignment horizontal="center"/>
    </xf>
    <xf numFmtId="0" fontId="2" fillId="0" borderId="27" xfId="0" applyFont="1" applyBorder="1"/>
    <xf numFmtId="0" fontId="2" fillId="0" borderId="30" xfId="0" applyFont="1" applyBorder="1"/>
    <xf numFmtId="0" fontId="3" fillId="0" borderId="46" xfId="0" applyFont="1" applyBorder="1" applyAlignment="1">
      <alignment horizontal="center"/>
    </xf>
    <xf numFmtId="0" fontId="3" fillId="0" borderId="47" xfId="0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0" fontId="3" fillId="6" borderId="0" xfId="0" applyFont="1" applyFill="1" applyAlignment="1"/>
    <xf numFmtId="0" fontId="0" fillId="0" borderId="0" xfId="0" applyFont="1" applyAlignment="1"/>
    <xf numFmtId="0" fontId="3" fillId="7" borderId="0" xfId="0" applyFont="1" applyFill="1" applyAlignment="1"/>
    <xf numFmtId="0" fontId="3" fillId="5" borderId="0" xfId="0" applyFont="1" applyFill="1" applyAlignment="1"/>
    <xf numFmtId="0" fontId="3" fillId="8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9" fillId="0" borderId="21" xfId="0" applyFont="1" applyBorder="1" applyAlignment="1">
      <alignment horizontal="center"/>
    </xf>
    <xf numFmtId="0" fontId="2" fillId="0" borderId="22" xfId="0" applyFont="1" applyBorder="1"/>
    <xf numFmtId="0" fontId="2" fillId="0" borderId="23" xfId="0" applyFont="1" applyBorder="1"/>
    <xf numFmtId="0" fontId="9" fillId="0" borderId="24" xfId="0" applyFont="1" applyBorder="1" applyAlignment="1">
      <alignment horizontal="center"/>
    </xf>
    <xf numFmtId="0" fontId="2" fillId="0" borderId="25" xfId="0" applyFont="1" applyBorder="1"/>
    <xf numFmtId="0" fontId="9" fillId="0" borderId="26" xfId="0" applyFont="1" applyBorder="1" applyAlignment="1">
      <alignment horizontal="center"/>
    </xf>
    <xf numFmtId="0" fontId="2" fillId="0" borderId="28" xfId="0" applyFont="1" applyBorder="1"/>
    <xf numFmtId="0" fontId="5" fillId="0" borderId="0" xfId="0" applyFont="1" applyAlignment="1">
      <alignment horizontal="center"/>
    </xf>
    <xf numFmtId="0" fontId="3" fillId="0" borderId="41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2" borderId="2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8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HONATAN QUINTERO VARELA" id="{A0668253-504B-457B-BC52-BE920478D443}" userId="S::jhonatanquintero106179@correo.itm.edu.co::2d307c08-beeb-4e35-9096-4dcdd66b1948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5" dT="2026-03-17T02:24:18.59" personId="{A0668253-504B-457B-BC52-BE920478D443}" id="{2BC5FEB3-FD3A-446C-B5A0-ACD279F28CE5}">
    <text>PUBLICA
Hosts</text>
  </threadedComment>
  <threadedComment ref="A17" dT="2026-03-17T02:24:18.59" personId="{A0668253-504B-457B-BC52-BE920478D443}" id="{19C5C1C9-BBFC-4974-A88A-AB647CA1844D}">
    <text>PRIVADA
Back</text>
  </threadedComment>
  <threadedComment ref="A19" dT="2026-03-17T02:24:18.59" personId="{A0668253-504B-457B-BC52-BE920478D443}" id="{957FF383-43F2-43B7-9656-8B9971E97023}">
    <text>PRIVADA
DB</text>
  </threadedComment>
  <threadedComment ref="A21" dT="2026-03-17T02:35:22.52" personId="{A0668253-504B-457B-BC52-BE920478D443}" id="{759C086C-DD96-49DF-998A-2F2C1799EBCC}">
    <text>Users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H28"/>
  <sheetViews>
    <sheetView tabSelected="1" topLeftCell="A8" zoomScale="130" zoomScaleNormal="130" workbookViewId="0">
      <selection activeCell="U10" sqref="U10"/>
    </sheetView>
  </sheetViews>
  <sheetFormatPr baseColWidth="10" defaultColWidth="12.7109375" defaultRowHeight="15.75" customHeight="1" x14ac:dyDescent="0.2"/>
  <cols>
    <col min="1" max="8" width="3.85546875" customWidth="1"/>
    <col min="9" max="32" width="4.7109375" customWidth="1"/>
    <col min="33" max="33" width="7.28515625" customWidth="1"/>
    <col min="34" max="34" width="6.7109375" customWidth="1"/>
  </cols>
  <sheetData>
    <row r="1" spans="1:34" ht="15.75" customHeight="1" x14ac:dyDescent="0.25">
      <c r="A1" s="117" t="s">
        <v>0</v>
      </c>
      <c r="B1" s="103"/>
      <c r="C1" s="103"/>
      <c r="D1" s="103"/>
      <c r="E1" s="103"/>
      <c r="F1" s="103"/>
      <c r="G1" s="103"/>
      <c r="H1" s="106"/>
      <c r="I1" s="117" t="s">
        <v>1</v>
      </c>
      <c r="J1" s="103"/>
      <c r="K1" s="103"/>
      <c r="L1" s="103"/>
      <c r="M1" s="103"/>
      <c r="N1" s="103"/>
      <c r="O1" s="103"/>
      <c r="P1" s="106"/>
      <c r="Q1" s="117" t="s">
        <v>2</v>
      </c>
      <c r="R1" s="103"/>
      <c r="S1" s="103"/>
      <c r="T1" s="103"/>
      <c r="U1" s="103"/>
      <c r="V1" s="103"/>
      <c r="W1" s="103"/>
      <c r="X1" s="106"/>
      <c r="Y1" s="118" t="s">
        <v>3</v>
      </c>
      <c r="Z1" s="96"/>
      <c r="AA1" s="96"/>
      <c r="AB1" s="96"/>
      <c r="AC1" s="96"/>
      <c r="AD1" s="96"/>
      <c r="AE1" s="96"/>
      <c r="AF1" s="97"/>
      <c r="AG1" s="1"/>
    </row>
    <row r="2" spans="1:34" ht="12.75" x14ac:dyDescent="0.2">
      <c r="A2" s="76">
        <v>128</v>
      </c>
      <c r="B2" s="2">
        <v>64</v>
      </c>
      <c r="C2" s="2">
        <v>32</v>
      </c>
      <c r="D2" s="2">
        <v>16</v>
      </c>
      <c r="E2" s="2">
        <v>8</v>
      </c>
      <c r="F2" s="2">
        <v>4</v>
      </c>
      <c r="G2" s="2">
        <v>2</v>
      </c>
      <c r="H2" s="77">
        <v>1</v>
      </c>
      <c r="I2" s="76">
        <v>128</v>
      </c>
      <c r="J2" s="2">
        <v>64</v>
      </c>
      <c r="K2" s="2">
        <v>32</v>
      </c>
      <c r="L2" s="2">
        <v>16</v>
      </c>
      <c r="M2" s="2">
        <v>8</v>
      </c>
      <c r="N2" s="2">
        <v>4</v>
      </c>
      <c r="O2" s="2">
        <v>2</v>
      </c>
      <c r="P2" s="77">
        <v>1</v>
      </c>
      <c r="Q2" s="76">
        <v>128</v>
      </c>
      <c r="R2" s="2">
        <v>64</v>
      </c>
      <c r="S2" s="2">
        <v>32</v>
      </c>
      <c r="T2" s="2">
        <v>16</v>
      </c>
      <c r="U2" s="2">
        <v>8</v>
      </c>
      <c r="V2" s="2">
        <v>4</v>
      </c>
      <c r="W2" s="2">
        <v>2</v>
      </c>
      <c r="X2" s="77">
        <v>1</v>
      </c>
      <c r="Y2" s="75">
        <v>128</v>
      </c>
      <c r="Z2" s="2">
        <v>64</v>
      </c>
      <c r="AA2" s="2">
        <v>32</v>
      </c>
      <c r="AB2" s="2">
        <v>16</v>
      </c>
      <c r="AC2" s="2">
        <v>8</v>
      </c>
      <c r="AD2" s="2">
        <v>4</v>
      </c>
      <c r="AE2" s="2">
        <v>2</v>
      </c>
      <c r="AF2" s="2">
        <v>1</v>
      </c>
    </row>
    <row r="3" spans="1:34" ht="13.5" thickBot="1" x14ac:dyDescent="0.25">
      <c r="A3" s="78">
        <v>1</v>
      </c>
      <c r="B3" s="79">
        <v>0</v>
      </c>
      <c r="C3" s="79">
        <v>1</v>
      </c>
      <c r="D3" s="79">
        <v>0</v>
      </c>
      <c r="E3" s="79">
        <v>1</v>
      </c>
      <c r="F3" s="79">
        <v>1</v>
      </c>
      <c r="G3" s="79">
        <v>0</v>
      </c>
      <c r="H3" s="80">
        <v>0</v>
      </c>
      <c r="I3" s="78">
        <v>0</v>
      </c>
      <c r="J3" s="79">
        <v>0</v>
      </c>
      <c r="K3" s="79">
        <v>0</v>
      </c>
      <c r="L3" s="79">
        <v>1</v>
      </c>
      <c r="M3" s="79">
        <v>0</v>
      </c>
      <c r="N3" s="79">
        <v>0</v>
      </c>
      <c r="O3" s="79">
        <v>0</v>
      </c>
      <c r="P3" s="80">
        <v>0</v>
      </c>
      <c r="Q3" s="78">
        <v>0</v>
      </c>
      <c r="R3" s="79">
        <v>0</v>
      </c>
      <c r="S3" s="79">
        <v>0</v>
      </c>
      <c r="T3" s="79">
        <v>1</v>
      </c>
      <c r="U3" s="79">
        <v>0</v>
      </c>
      <c r="V3" s="79">
        <v>1</v>
      </c>
      <c r="W3" s="82">
        <v>0</v>
      </c>
      <c r="X3" s="83">
        <v>0</v>
      </c>
      <c r="Y3" s="81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</row>
    <row r="5" spans="1:34" ht="12.75" customHeight="1" x14ac:dyDescent="0.2">
      <c r="A5" s="116">
        <f>A2*A3+B2*B3+C2*C3+D2*D3+E2*E3+F2*F3++G2*G3+H2*H3</f>
        <v>172</v>
      </c>
      <c r="B5" s="92"/>
      <c r="C5" s="92"/>
      <c r="D5" s="92"/>
      <c r="E5" s="92"/>
      <c r="F5" s="92"/>
      <c r="G5" s="92"/>
      <c r="H5" s="92"/>
      <c r="I5" s="116">
        <f>I2*I3+J2*J3+K2*K3+L2*L3+M2*M3+N2*N3++O2*O3+P2*P3</f>
        <v>16</v>
      </c>
      <c r="J5" s="92"/>
      <c r="K5" s="92"/>
      <c r="L5" s="92"/>
      <c r="M5" s="92"/>
      <c r="N5" s="92"/>
      <c r="O5" s="92"/>
      <c r="P5" s="92"/>
      <c r="Q5" s="116">
        <f>Q2*Q3+R2*R3+S2*S3+T2*T3+U2*U3+V2*V3++W2*W3+X2*X3</f>
        <v>20</v>
      </c>
      <c r="R5" s="92"/>
      <c r="S5" s="92"/>
      <c r="T5" s="92"/>
      <c r="U5" s="92"/>
      <c r="V5" s="92"/>
      <c r="W5" s="92"/>
      <c r="X5" s="92"/>
      <c r="Y5" s="116">
        <f>Y2*Y3+Z2*Z3+AA2*AA3+AB2*AB3+AC2*AC3+AD2*AD3++AE2*AE3+AF2*AF3</f>
        <v>0</v>
      </c>
      <c r="Z5" s="92"/>
      <c r="AA5" s="92"/>
      <c r="AB5" s="92"/>
      <c r="AC5" s="92"/>
      <c r="AD5" s="92"/>
      <c r="AE5" s="92"/>
      <c r="AF5" s="92"/>
      <c r="AG5" s="109">
        <f>COUNT(A3:V3)</f>
        <v>22</v>
      </c>
      <c r="AH5" s="109"/>
    </row>
    <row r="6" spans="1:34" ht="15.75" customHeight="1" x14ac:dyDescent="0.2">
      <c r="A6" s="92"/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109"/>
      <c r="AH6" s="109"/>
    </row>
    <row r="7" spans="1:34" ht="15.75" customHeight="1" x14ac:dyDescent="0.2">
      <c r="A7" s="92"/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109"/>
      <c r="AH7" s="109"/>
    </row>
    <row r="9" spans="1:34" ht="15.75" customHeight="1" x14ac:dyDescent="0.45">
      <c r="A9" s="91" t="s">
        <v>4</v>
      </c>
      <c r="B9" s="92"/>
      <c r="C9" s="92"/>
      <c r="U9" s="4"/>
      <c r="V9" s="4"/>
    </row>
    <row r="10" spans="1:34" ht="15.75" customHeight="1" x14ac:dyDescent="0.45">
      <c r="A10" s="93" t="s">
        <v>5</v>
      </c>
      <c r="B10" s="92"/>
      <c r="C10" s="92"/>
      <c r="U10" s="4"/>
      <c r="V10" s="4"/>
    </row>
    <row r="11" spans="1:34" ht="12.75" x14ac:dyDescent="0.2">
      <c r="A11" s="94" t="s">
        <v>6</v>
      </c>
      <c r="B11" s="92"/>
      <c r="C11" s="92"/>
    </row>
    <row r="13" spans="1:34" ht="12.75" x14ac:dyDescent="0.2">
      <c r="A13" s="95" t="s">
        <v>7</v>
      </c>
      <c r="B13" s="96"/>
      <c r="C13" s="96"/>
      <c r="D13" s="96"/>
      <c r="E13" s="96"/>
      <c r="F13" s="96"/>
      <c r="G13" s="96"/>
      <c r="H13" s="97"/>
      <c r="I13" s="95" t="s">
        <v>8</v>
      </c>
      <c r="J13" s="96"/>
      <c r="K13" s="96"/>
      <c r="L13" s="96"/>
      <c r="M13" s="96"/>
      <c r="N13" s="96"/>
      <c r="O13" s="96"/>
      <c r="P13" s="97"/>
      <c r="R13" s="27"/>
      <c r="S13" s="27"/>
      <c r="U13" s="98" t="s">
        <v>9</v>
      </c>
      <c r="V13" s="97"/>
      <c r="W13" s="98" t="s">
        <v>10</v>
      </c>
      <c r="X13" s="96"/>
      <c r="Y13" s="96"/>
      <c r="Z13" s="96"/>
      <c r="AA13" s="96"/>
      <c r="AB13" s="97"/>
      <c r="AC13" s="98" t="s">
        <v>11</v>
      </c>
      <c r="AD13" s="96"/>
      <c r="AE13" s="110" t="s">
        <v>12</v>
      </c>
      <c r="AF13" s="111"/>
      <c r="AG13" s="111"/>
      <c r="AH13" s="112"/>
    </row>
    <row r="14" spans="1:34" ht="13.5" thickBot="1" x14ac:dyDescent="0.25">
      <c r="A14" s="99" t="s">
        <v>39</v>
      </c>
      <c r="B14" s="100"/>
      <c r="C14" s="100"/>
      <c r="D14" s="100"/>
      <c r="E14" s="100"/>
      <c r="F14" s="100"/>
      <c r="G14" s="100"/>
      <c r="H14" s="101"/>
      <c r="I14" s="99" t="s">
        <v>40</v>
      </c>
      <c r="J14" s="100"/>
      <c r="K14" s="100"/>
      <c r="L14" s="100"/>
      <c r="M14" s="100"/>
      <c r="N14" s="100"/>
      <c r="O14" s="100"/>
      <c r="P14" s="101"/>
      <c r="R14" s="27"/>
      <c r="S14" s="27"/>
      <c r="U14" s="98" t="s">
        <v>13</v>
      </c>
      <c r="V14" s="97"/>
      <c r="W14" s="2" t="s">
        <v>14</v>
      </c>
      <c r="X14" s="5"/>
      <c r="Y14" s="6" t="s">
        <v>15</v>
      </c>
      <c r="Z14" s="2" t="s">
        <v>16</v>
      </c>
      <c r="AA14" s="5"/>
      <c r="AB14" s="5"/>
      <c r="AC14" s="2" t="s">
        <v>17</v>
      </c>
      <c r="AD14" s="84"/>
      <c r="AE14" s="113" t="s">
        <v>18</v>
      </c>
      <c r="AF14" s="114"/>
      <c r="AG14" s="114"/>
      <c r="AH14" s="115"/>
    </row>
    <row r="15" spans="1:34" ht="12.75" x14ac:dyDescent="0.2">
      <c r="A15" s="102" t="s">
        <v>41</v>
      </c>
      <c r="B15" s="103"/>
      <c r="C15" s="103"/>
      <c r="D15" s="103"/>
      <c r="E15" s="103"/>
      <c r="F15" s="103"/>
      <c r="G15" s="103"/>
      <c r="H15" s="104"/>
      <c r="I15" s="105" t="s">
        <v>42</v>
      </c>
      <c r="J15" s="103"/>
      <c r="K15" s="103"/>
      <c r="L15" s="103"/>
      <c r="M15" s="103"/>
      <c r="N15" s="103"/>
      <c r="O15" s="103"/>
      <c r="P15" s="106"/>
      <c r="R15" s="27"/>
      <c r="S15" s="27"/>
      <c r="U15" s="98" t="s">
        <v>19</v>
      </c>
      <c r="V15" s="97"/>
      <c r="W15" s="2" t="s">
        <v>20</v>
      </c>
      <c r="X15" s="5"/>
      <c r="Y15" s="6" t="s">
        <v>15</v>
      </c>
      <c r="Z15" s="2" t="s">
        <v>21</v>
      </c>
      <c r="AA15" s="5"/>
      <c r="AB15" s="5"/>
      <c r="AC15" s="2" t="s">
        <v>22</v>
      </c>
      <c r="AD15" s="84"/>
      <c r="AE15" s="113" t="s">
        <v>23</v>
      </c>
      <c r="AF15" s="114"/>
      <c r="AG15" s="114"/>
      <c r="AH15" s="115"/>
    </row>
    <row r="16" spans="1:34" ht="13.5" thickBot="1" x14ac:dyDescent="0.25">
      <c r="A16" s="107" t="s">
        <v>43</v>
      </c>
      <c r="B16" s="86"/>
      <c r="C16" s="86"/>
      <c r="D16" s="86"/>
      <c r="E16" s="86"/>
      <c r="F16" s="86"/>
      <c r="G16" s="86"/>
      <c r="H16" s="108"/>
      <c r="I16" s="85" t="s">
        <v>44</v>
      </c>
      <c r="J16" s="86"/>
      <c r="K16" s="86"/>
      <c r="L16" s="86"/>
      <c r="M16" s="86"/>
      <c r="N16" s="86"/>
      <c r="O16" s="86"/>
      <c r="P16" s="87"/>
      <c r="R16" s="27"/>
      <c r="S16" s="27"/>
      <c r="U16" s="98" t="s">
        <v>24</v>
      </c>
      <c r="V16" s="97"/>
      <c r="W16" s="2" t="s">
        <v>25</v>
      </c>
      <c r="X16" s="5"/>
      <c r="Y16" s="6" t="s">
        <v>15</v>
      </c>
      <c r="Z16" s="2" t="s">
        <v>26</v>
      </c>
      <c r="AA16" s="5"/>
      <c r="AB16" s="5"/>
      <c r="AC16" s="2" t="s">
        <v>27</v>
      </c>
      <c r="AD16" s="84"/>
      <c r="AE16" s="88" t="s">
        <v>28</v>
      </c>
      <c r="AF16" s="89"/>
      <c r="AG16" s="89"/>
      <c r="AH16" s="90"/>
    </row>
    <row r="17" spans="1:16" ht="12.75" x14ac:dyDescent="0.2">
      <c r="A17" s="102" t="s">
        <v>45</v>
      </c>
      <c r="B17" s="103"/>
      <c r="C17" s="103"/>
      <c r="D17" s="103"/>
      <c r="E17" s="103"/>
      <c r="F17" s="103"/>
      <c r="G17" s="103"/>
      <c r="H17" s="104"/>
      <c r="I17" s="105" t="s">
        <v>46</v>
      </c>
      <c r="J17" s="103"/>
      <c r="K17" s="103"/>
      <c r="L17" s="103"/>
      <c r="M17" s="103"/>
      <c r="N17" s="103"/>
      <c r="O17" s="103"/>
      <c r="P17" s="106"/>
    </row>
    <row r="18" spans="1:16" ht="13.5" thickBot="1" x14ac:dyDescent="0.25">
      <c r="A18" s="107" t="s">
        <v>47</v>
      </c>
      <c r="B18" s="86"/>
      <c r="C18" s="86"/>
      <c r="D18" s="86"/>
      <c r="E18" s="86"/>
      <c r="F18" s="86"/>
      <c r="G18" s="86"/>
      <c r="H18" s="108"/>
      <c r="I18" s="85" t="s">
        <v>48</v>
      </c>
      <c r="J18" s="86"/>
      <c r="K18" s="86"/>
      <c r="L18" s="86"/>
      <c r="M18" s="86"/>
      <c r="N18" s="86"/>
      <c r="O18" s="86"/>
      <c r="P18" s="87"/>
    </row>
    <row r="19" spans="1:16" ht="12.75" x14ac:dyDescent="0.2">
      <c r="A19" s="102" t="s">
        <v>49</v>
      </c>
      <c r="B19" s="103"/>
      <c r="C19" s="103"/>
      <c r="D19" s="103"/>
      <c r="E19" s="103"/>
      <c r="F19" s="103"/>
      <c r="G19" s="103"/>
      <c r="H19" s="104"/>
      <c r="I19" s="105" t="s">
        <v>50</v>
      </c>
      <c r="J19" s="103"/>
      <c r="K19" s="103"/>
      <c r="L19" s="103"/>
      <c r="M19" s="103"/>
      <c r="N19" s="103"/>
      <c r="O19" s="103"/>
      <c r="P19" s="106"/>
    </row>
    <row r="20" spans="1:16" ht="13.5" thickBot="1" x14ac:dyDescent="0.25">
      <c r="A20" s="107" t="s">
        <v>51</v>
      </c>
      <c r="B20" s="86"/>
      <c r="C20" s="86"/>
      <c r="D20" s="86"/>
      <c r="E20" s="86"/>
      <c r="F20" s="86"/>
      <c r="G20" s="86"/>
      <c r="H20" s="108"/>
      <c r="I20" s="85" t="s">
        <v>52</v>
      </c>
      <c r="J20" s="86"/>
      <c r="K20" s="86"/>
      <c r="L20" s="86"/>
      <c r="M20" s="86"/>
      <c r="N20" s="86"/>
      <c r="O20" s="86"/>
      <c r="P20" s="87"/>
    </row>
    <row r="21" spans="1:16" ht="12.75" x14ac:dyDescent="0.2">
      <c r="A21" s="119" t="s">
        <v>53</v>
      </c>
      <c r="B21" s="120"/>
      <c r="C21" s="120"/>
      <c r="D21" s="120"/>
      <c r="E21" s="120"/>
      <c r="F21" s="120"/>
      <c r="G21" s="120"/>
      <c r="H21" s="121"/>
      <c r="I21" s="119" t="s">
        <v>54</v>
      </c>
      <c r="J21" s="96"/>
      <c r="K21" s="96"/>
      <c r="L21" s="96"/>
      <c r="M21" s="96"/>
      <c r="N21" s="96"/>
      <c r="O21" s="96"/>
      <c r="P21" s="97"/>
    </row>
    <row r="22" spans="1:16" ht="12.75" x14ac:dyDescent="0.2">
      <c r="A22" s="119" t="s">
        <v>56</v>
      </c>
      <c r="B22" s="96"/>
      <c r="C22" s="96"/>
      <c r="D22" s="96"/>
      <c r="E22" s="96"/>
      <c r="F22" s="96"/>
      <c r="G22" s="96"/>
      <c r="H22" s="97"/>
      <c r="I22" s="119" t="s">
        <v>55</v>
      </c>
      <c r="J22" s="96"/>
      <c r="K22" s="96"/>
      <c r="L22" s="96"/>
      <c r="M22" s="96"/>
      <c r="N22" s="96"/>
      <c r="O22" s="96"/>
      <c r="P22" s="97"/>
    </row>
    <row r="25" spans="1:16" ht="12.75" x14ac:dyDescent="0.2">
      <c r="A25" s="73" t="s">
        <v>36</v>
      </c>
      <c r="B25" s="12"/>
      <c r="C25" s="74">
        <v>3</v>
      </c>
      <c r="D25" s="57" t="s">
        <v>31</v>
      </c>
      <c r="E25" s="12" t="s">
        <v>33</v>
      </c>
      <c r="F25" s="12"/>
    </row>
    <row r="26" spans="1:16" ht="12.75" x14ac:dyDescent="0.2">
      <c r="A26" s="73" t="s">
        <v>30</v>
      </c>
      <c r="B26" s="12"/>
      <c r="C26" s="74">
        <v>3</v>
      </c>
      <c r="D26" s="57" t="s">
        <v>31</v>
      </c>
      <c r="E26" s="12" t="s">
        <v>34</v>
      </c>
      <c r="F26" s="12"/>
    </row>
    <row r="27" spans="1:16" ht="12.75" x14ac:dyDescent="0.2">
      <c r="A27" s="73" t="s">
        <v>37</v>
      </c>
      <c r="B27" s="12"/>
      <c r="C27" s="74">
        <v>6</v>
      </c>
      <c r="D27" s="58" t="s">
        <v>35</v>
      </c>
      <c r="E27" s="12" t="s">
        <v>34</v>
      </c>
      <c r="F27" s="12"/>
    </row>
    <row r="28" spans="1:16" ht="12.75" x14ac:dyDescent="0.2">
      <c r="A28" s="73" t="s">
        <v>29</v>
      </c>
      <c r="B28" s="12"/>
      <c r="C28" s="74">
        <v>6</v>
      </c>
      <c r="D28" s="58" t="s">
        <v>35</v>
      </c>
      <c r="E28" s="12" t="s">
        <v>34</v>
      </c>
      <c r="F28" s="12"/>
    </row>
  </sheetData>
  <mergeCells count="42">
    <mergeCell ref="A20:H20"/>
    <mergeCell ref="A21:H21"/>
    <mergeCell ref="A22:H22"/>
    <mergeCell ref="A17:H17"/>
    <mergeCell ref="I17:P17"/>
    <mergeCell ref="A18:H18"/>
    <mergeCell ref="I18:P18"/>
    <mergeCell ref="A19:H19"/>
    <mergeCell ref="I19:P19"/>
    <mergeCell ref="I20:P20"/>
    <mergeCell ref="I21:P21"/>
    <mergeCell ref="I22:P22"/>
    <mergeCell ref="A1:H1"/>
    <mergeCell ref="I1:P1"/>
    <mergeCell ref="Q1:X1"/>
    <mergeCell ref="Y1:AF1"/>
    <mergeCell ref="A5:H7"/>
    <mergeCell ref="I5:P7"/>
    <mergeCell ref="Q5:X7"/>
    <mergeCell ref="A16:H16"/>
    <mergeCell ref="AG5:AH7"/>
    <mergeCell ref="AC13:AD13"/>
    <mergeCell ref="AE13:AH13"/>
    <mergeCell ref="AE14:AH14"/>
    <mergeCell ref="AE15:AH15"/>
    <mergeCell ref="Y5:AF7"/>
    <mergeCell ref="I16:P16"/>
    <mergeCell ref="AE16:AH16"/>
    <mergeCell ref="A9:C9"/>
    <mergeCell ref="A10:C10"/>
    <mergeCell ref="A11:C11"/>
    <mergeCell ref="A13:H13"/>
    <mergeCell ref="I13:P13"/>
    <mergeCell ref="U13:V13"/>
    <mergeCell ref="W13:AB13"/>
    <mergeCell ref="U15:V15"/>
    <mergeCell ref="U16:V16"/>
    <mergeCell ref="A14:H14"/>
    <mergeCell ref="I14:P14"/>
    <mergeCell ref="U14:V14"/>
    <mergeCell ref="A15:H15"/>
    <mergeCell ref="I15:P15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W29"/>
  <sheetViews>
    <sheetView workbookViewId="0">
      <selection activeCell="S18" sqref="S18"/>
    </sheetView>
  </sheetViews>
  <sheetFormatPr baseColWidth="10" defaultColWidth="12.7109375" defaultRowHeight="15.75" customHeight="1" x14ac:dyDescent="0.2"/>
  <cols>
    <col min="2" max="17" width="3.28515625" customWidth="1"/>
  </cols>
  <sheetData>
    <row r="1" spans="2:23" ht="15.75" customHeight="1" x14ac:dyDescent="0.2">
      <c r="T1" s="9" t="s">
        <v>36</v>
      </c>
      <c r="U1" s="10">
        <v>3</v>
      </c>
      <c r="V1" s="30" t="s">
        <v>31</v>
      </c>
      <c r="W1" s="27" t="s">
        <v>33</v>
      </c>
    </row>
    <row r="2" spans="2:23" ht="15.75" customHeight="1" thickBot="1" x14ac:dyDescent="0.25">
      <c r="B2" s="1" t="s">
        <v>57</v>
      </c>
      <c r="T2" s="9" t="s">
        <v>30</v>
      </c>
      <c r="U2" s="10">
        <v>3</v>
      </c>
      <c r="V2" s="30" t="s">
        <v>31</v>
      </c>
      <c r="W2" s="27" t="s">
        <v>34</v>
      </c>
    </row>
    <row r="3" spans="2:23" ht="15.75" customHeight="1" x14ac:dyDescent="0.2">
      <c r="B3" s="32" t="s">
        <v>60</v>
      </c>
      <c r="C3" s="14"/>
      <c r="D3" s="15"/>
      <c r="E3" s="33"/>
      <c r="F3" s="34" t="s">
        <v>60</v>
      </c>
      <c r="G3" s="14"/>
      <c r="H3" s="14"/>
      <c r="I3" s="16"/>
      <c r="J3" s="32" t="s">
        <v>58</v>
      </c>
      <c r="K3" s="14"/>
      <c r="L3" s="14"/>
      <c r="M3" s="14"/>
      <c r="N3" s="14"/>
      <c r="O3" s="14"/>
      <c r="P3" s="14"/>
      <c r="Q3" s="16"/>
      <c r="T3" s="9" t="s">
        <v>37</v>
      </c>
      <c r="U3" s="10">
        <v>6</v>
      </c>
      <c r="V3" s="29" t="s">
        <v>35</v>
      </c>
      <c r="W3" s="27" t="s">
        <v>34</v>
      </c>
    </row>
    <row r="4" spans="2:23" ht="15.75" customHeight="1" x14ac:dyDescent="0.2">
      <c r="B4" s="17"/>
      <c r="C4" s="12"/>
      <c r="D4" s="12"/>
      <c r="E4" s="8"/>
      <c r="F4" s="12"/>
      <c r="G4" s="12"/>
      <c r="H4" s="12"/>
      <c r="I4" s="18"/>
      <c r="J4" s="37"/>
      <c r="K4" s="12"/>
      <c r="L4" s="12"/>
      <c r="M4" s="12"/>
      <c r="N4" s="12"/>
      <c r="O4" s="12"/>
      <c r="P4" s="12"/>
      <c r="Q4" s="18"/>
      <c r="T4" s="9" t="s">
        <v>29</v>
      </c>
      <c r="U4" s="10">
        <v>6</v>
      </c>
      <c r="V4" s="29" t="s">
        <v>35</v>
      </c>
      <c r="W4" s="27" t="s">
        <v>34</v>
      </c>
    </row>
    <row r="5" spans="2:23" ht="15.75" customHeight="1" x14ac:dyDescent="0.2">
      <c r="B5" s="17"/>
      <c r="C5" s="12"/>
      <c r="D5" s="12"/>
      <c r="E5" s="8"/>
      <c r="F5" s="12"/>
      <c r="G5" s="12"/>
      <c r="H5" s="12"/>
      <c r="I5" s="18"/>
      <c r="J5" s="37"/>
      <c r="K5" s="12"/>
      <c r="L5" s="12"/>
      <c r="M5" s="12"/>
      <c r="N5" s="12"/>
      <c r="O5" s="12"/>
      <c r="P5" s="12"/>
      <c r="Q5" s="18"/>
      <c r="T5" s="122" t="s">
        <v>32</v>
      </c>
      <c r="U5" s="122"/>
      <c r="V5" s="11">
        <f>SUM(U1:U4)</f>
        <v>18</v>
      </c>
    </row>
    <row r="6" spans="2:23" ht="15.75" customHeight="1" x14ac:dyDescent="0.2">
      <c r="B6" s="20"/>
      <c r="C6" s="13"/>
      <c r="D6" s="13"/>
      <c r="E6" s="31"/>
      <c r="F6" s="13"/>
      <c r="G6" s="13"/>
      <c r="H6" s="13"/>
      <c r="I6" s="21"/>
      <c r="J6" s="37"/>
      <c r="K6" s="12"/>
      <c r="L6" s="12"/>
      <c r="M6" s="12"/>
      <c r="N6" s="12"/>
      <c r="O6" s="12"/>
      <c r="P6" s="12"/>
      <c r="Q6" s="18"/>
      <c r="W6" s="27"/>
    </row>
    <row r="7" spans="2:23" ht="15.75" customHeight="1" x14ac:dyDescent="0.2">
      <c r="B7" s="35" t="s">
        <v>60</v>
      </c>
      <c r="C7" s="12"/>
      <c r="D7" s="12"/>
      <c r="E7" s="8"/>
      <c r="F7" s="7" t="s">
        <v>60</v>
      </c>
      <c r="G7" s="12"/>
      <c r="H7" s="12"/>
      <c r="I7" s="18"/>
      <c r="J7" s="37"/>
      <c r="K7" s="12"/>
      <c r="L7" s="12"/>
      <c r="M7" s="12"/>
      <c r="N7" s="12"/>
      <c r="O7" s="12"/>
      <c r="P7" s="12"/>
      <c r="Q7" s="18"/>
    </row>
    <row r="8" spans="2:23" ht="15.75" customHeight="1" x14ac:dyDescent="0.2">
      <c r="B8" s="17"/>
      <c r="C8" s="12"/>
      <c r="D8" s="12"/>
      <c r="E8" s="8"/>
      <c r="F8" s="12"/>
      <c r="G8" s="12"/>
      <c r="H8" s="12"/>
      <c r="I8" s="18"/>
      <c r="J8" s="37"/>
      <c r="K8" s="12"/>
      <c r="L8" s="12"/>
      <c r="M8" s="12"/>
      <c r="N8" s="12"/>
      <c r="O8" s="12"/>
      <c r="P8" s="12"/>
      <c r="Q8" s="18"/>
      <c r="T8" t="s">
        <v>57</v>
      </c>
    </row>
    <row r="9" spans="2:23" ht="15.75" customHeight="1" x14ac:dyDescent="0.2">
      <c r="B9" s="17"/>
      <c r="C9" s="12"/>
      <c r="D9" s="12"/>
      <c r="E9" s="8"/>
      <c r="F9" s="12"/>
      <c r="G9" s="12"/>
      <c r="H9" s="12"/>
      <c r="I9" s="18"/>
      <c r="J9" s="37"/>
      <c r="K9" s="12"/>
      <c r="L9" s="12"/>
      <c r="M9" s="12"/>
      <c r="N9" s="12"/>
      <c r="O9" s="12"/>
      <c r="P9" s="12"/>
      <c r="Q9" s="18"/>
      <c r="T9" t="s">
        <v>58</v>
      </c>
    </row>
    <row r="10" spans="2:23" ht="15.75" customHeight="1" thickBot="1" x14ac:dyDescent="0.25">
      <c r="B10" s="22"/>
      <c r="C10" s="23"/>
      <c r="D10" s="23"/>
      <c r="E10" s="36"/>
      <c r="F10" s="23"/>
      <c r="G10" s="23"/>
      <c r="H10" s="23"/>
      <c r="I10" s="24"/>
      <c r="J10" s="38"/>
      <c r="K10" s="25"/>
      <c r="L10" s="25"/>
      <c r="M10" s="25"/>
      <c r="N10" s="25"/>
      <c r="O10" s="25"/>
      <c r="P10" s="25"/>
      <c r="Q10" s="24"/>
      <c r="T10" s="48" t="s">
        <v>61</v>
      </c>
    </row>
    <row r="11" spans="2:23" ht="15.75" customHeight="1" x14ac:dyDescent="0.2">
      <c r="B11" s="32" t="s">
        <v>59</v>
      </c>
      <c r="C11" s="14"/>
      <c r="D11" s="15"/>
      <c r="E11" s="33"/>
      <c r="F11" s="15" t="s">
        <v>59</v>
      </c>
      <c r="G11" s="14"/>
      <c r="H11" s="14"/>
      <c r="I11" s="16"/>
      <c r="J11" s="32" t="s">
        <v>59</v>
      </c>
      <c r="K11" s="14"/>
      <c r="L11" s="15"/>
      <c r="M11" s="33"/>
      <c r="N11" s="15" t="s">
        <v>59</v>
      </c>
      <c r="O11" s="14"/>
      <c r="P11" s="14"/>
      <c r="Q11" s="16"/>
    </row>
    <row r="12" spans="2:23" ht="15.75" customHeight="1" x14ac:dyDescent="0.2">
      <c r="B12" s="17"/>
      <c r="C12" s="12"/>
      <c r="D12" s="12"/>
      <c r="E12" s="8"/>
      <c r="F12" s="12"/>
      <c r="G12" s="12"/>
      <c r="H12" s="12"/>
      <c r="I12" s="18"/>
      <c r="J12" s="17"/>
      <c r="K12" s="12"/>
      <c r="L12" s="12"/>
      <c r="M12" s="8"/>
      <c r="N12" s="12"/>
      <c r="O12" s="12"/>
      <c r="P12" s="12"/>
      <c r="Q12" s="18"/>
    </row>
    <row r="13" spans="2:23" ht="15.75" customHeight="1" x14ac:dyDescent="0.2">
      <c r="B13" s="17"/>
      <c r="C13" s="12"/>
      <c r="D13" s="12"/>
      <c r="E13" s="8"/>
      <c r="F13" s="12"/>
      <c r="G13" s="12"/>
      <c r="H13" s="12"/>
      <c r="I13" s="18"/>
      <c r="J13" s="17"/>
      <c r="K13" s="12"/>
      <c r="L13" s="12"/>
      <c r="M13" s="8"/>
      <c r="N13" s="12"/>
      <c r="O13" s="12"/>
      <c r="P13" s="12"/>
      <c r="Q13" s="18"/>
    </row>
    <row r="14" spans="2:23" ht="15.75" customHeight="1" x14ac:dyDescent="0.2">
      <c r="B14" s="17"/>
      <c r="C14" s="12"/>
      <c r="D14" s="12"/>
      <c r="E14" s="8"/>
      <c r="F14" s="12"/>
      <c r="G14" s="12"/>
      <c r="H14" s="12"/>
      <c r="I14" s="18"/>
      <c r="J14" s="17"/>
      <c r="K14" s="12"/>
      <c r="L14" s="12"/>
      <c r="M14" s="8"/>
      <c r="N14" s="12"/>
      <c r="O14" s="12"/>
      <c r="P14" s="12"/>
      <c r="Q14" s="18"/>
    </row>
    <row r="15" spans="2:23" ht="15.75" customHeight="1" x14ac:dyDescent="0.2">
      <c r="B15" s="19"/>
      <c r="C15" s="12"/>
      <c r="D15" s="12"/>
      <c r="E15" s="8"/>
      <c r="F15" s="12"/>
      <c r="G15" s="12"/>
      <c r="H15" s="12"/>
      <c r="I15" s="18"/>
      <c r="J15" s="19"/>
      <c r="K15" s="12"/>
      <c r="L15" s="12"/>
      <c r="M15" s="8"/>
      <c r="N15" s="12"/>
      <c r="O15" s="12"/>
      <c r="P15" s="12"/>
      <c r="Q15" s="18"/>
    </row>
    <row r="16" spans="2:23" ht="15.75" customHeight="1" x14ac:dyDescent="0.2">
      <c r="B16" s="17"/>
      <c r="C16" s="12"/>
      <c r="D16" s="12"/>
      <c r="E16" s="8"/>
      <c r="F16" s="12"/>
      <c r="G16" s="12"/>
      <c r="H16" s="12"/>
      <c r="I16" s="18"/>
      <c r="J16" s="17"/>
      <c r="K16" s="12"/>
      <c r="L16" s="12"/>
      <c r="M16" s="8"/>
      <c r="N16" s="12"/>
      <c r="O16" s="12"/>
      <c r="P16" s="12"/>
      <c r="Q16" s="18"/>
    </row>
    <row r="17" spans="2:17" ht="15.75" customHeight="1" x14ac:dyDescent="0.2">
      <c r="B17" s="17"/>
      <c r="C17" s="12"/>
      <c r="D17" s="12"/>
      <c r="E17" s="8"/>
      <c r="F17" s="12"/>
      <c r="G17" s="12"/>
      <c r="H17" s="12"/>
      <c r="I17" s="18"/>
      <c r="J17" s="17"/>
      <c r="K17" s="12"/>
      <c r="L17" s="12"/>
      <c r="M17" s="8"/>
      <c r="N17" s="12"/>
      <c r="O17" s="12"/>
      <c r="P17" s="12"/>
      <c r="Q17" s="18"/>
    </row>
    <row r="18" spans="2:17" ht="15.75" customHeight="1" thickBot="1" x14ac:dyDescent="0.25">
      <c r="B18" s="22"/>
      <c r="C18" s="23"/>
      <c r="D18" s="23"/>
      <c r="E18" s="36"/>
      <c r="F18" s="23"/>
      <c r="G18" s="23"/>
      <c r="H18" s="23"/>
      <c r="I18" s="24"/>
      <c r="J18" s="22"/>
      <c r="K18" s="23"/>
      <c r="L18" s="23"/>
      <c r="M18" s="36"/>
      <c r="N18" s="23"/>
      <c r="O18" s="23"/>
      <c r="P18" s="23"/>
      <c r="Q18" s="24"/>
    </row>
    <row r="21" spans="2:17" ht="15.75" customHeight="1" thickBot="1" x14ac:dyDescent="0.25">
      <c r="B21" t="s">
        <v>57</v>
      </c>
      <c r="J21" s="28" t="s">
        <v>38</v>
      </c>
    </row>
    <row r="22" spans="2:17" ht="15.75" customHeight="1" x14ac:dyDescent="0.2">
      <c r="B22" s="40" t="s">
        <v>58</v>
      </c>
      <c r="C22" s="41"/>
      <c r="D22" s="41"/>
      <c r="E22" s="47"/>
      <c r="F22" s="49" t="s">
        <v>61</v>
      </c>
      <c r="G22" s="50"/>
      <c r="H22" s="50"/>
      <c r="I22" s="50"/>
      <c r="J22" s="59" t="s">
        <v>31</v>
      </c>
      <c r="K22" s="60"/>
      <c r="L22" s="59"/>
      <c r="M22" s="60"/>
      <c r="N22" s="69"/>
      <c r="O22" s="26"/>
      <c r="P22" s="26"/>
      <c r="Q22" s="70"/>
    </row>
    <row r="23" spans="2:17" ht="15.75" customHeight="1" thickBot="1" x14ac:dyDescent="0.25">
      <c r="B23" s="42"/>
      <c r="C23" s="39"/>
      <c r="D23" s="39"/>
      <c r="E23" s="43"/>
      <c r="F23" s="51"/>
      <c r="G23" s="52"/>
      <c r="H23" s="52"/>
      <c r="I23" s="52"/>
      <c r="J23" s="61"/>
      <c r="K23" s="62"/>
      <c r="L23" s="61"/>
      <c r="M23" s="62"/>
      <c r="N23" s="37"/>
      <c r="O23" s="12"/>
      <c r="P23" s="12"/>
      <c r="Q23" s="71"/>
    </row>
    <row r="24" spans="2:17" ht="15.75" customHeight="1" x14ac:dyDescent="0.2">
      <c r="B24" s="42"/>
      <c r="C24" s="39"/>
      <c r="D24" s="39"/>
      <c r="E24" s="43"/>
      <c r="F24" s="51"/>
      <c r="G24" s="52"/>
      <c r="H24" s="52"/>
      <c r="I24" s="52"/>
      <c r="J24" s="59"/>
      <c r="K24" s="60"/>
      <c r="L24" s="59"/>
      <c r="M24" s="60"/>
      <c r="N24" s="37"/>
      <c r="O24" s="12"/>
      <c r="P24" s="12"/>
      <c r="Q24" s="71"/>
    </row>
    <row r="25" spans="2:17" ht="15.75" customHeight="1" thickBot="1" x14ac:dyDescent="0.25">
      <c r="B25" s="42"/>
      <c r="C25" s="39"/>
      <c r="D25" s="39"/>
      <c r="E25" s="43"/>
      <c r="F25" s="53"/>
      <c r="G25" s="54"/>
      <c r="H25" s="54"/>
      <c r="I25" s="54"/>
      <c r="J25" s="61"/>
      <c r="K25" s="62"/>
      <c r="L25" s="61"/>
      <c r="M25" s="62"/>
      <c r="N25" s="38"/>
      <c r="O25" s="25"/>
      <c r="P25" s="25"/>
      <c r="Q25" s="72"/>
    </row>
    <row r="26" spans="2:17" ht="15.75" customHeight="1" x14ac:dyDescent="0.2">
      <c r="B26" s="42"/>
      <c r="C26" s="39"/>
      <c r="D26" s="39"/>
      <c r="E26" s="43"/>
      <c r="F26" s="55" t="s">
        <v>61</v>
      </c>
      <c r="G26" s="55"/>
      <c r="H26" s="55"/>
      <c r="I26" s="55"/>
      <c r="J26" s="63" t="s">
        <v>35</v>
      </c>
      <c r="K26" s="64"/>
      <c r="L26" s="63"/>
      <c r="M26" s="64"/>
      <c r="N26" s="63" t="s">
        <v>35</v>
      </c>
      <c r="O26" s="64"/>
      <c r="P26" s="63"/>
      <c r="Q26" s="64"/>
    </row>
    <row r="27" spans="2:17" ht="15.75" customHeight="1" x14ac:dyDescent="0.2">
      <c r="B27" s="42"/>
      <c r="C27" s="39"/>
      <c r="D27" s="39"/>
      <c r="E27" s="43"/>
      <c r="F27" s="55"/>
      <c r="G27" s="55"/>
      <c r="H27" s="55"/>
      <c r="I27" s="55"/>
      <c r="J27" s="65"/>
      <c r="K27" s="66"/>
      <c r="L27" s="65"/>
      <c r="M27" s="66"/>
      <c r="N27" s="65"/>
      <c r="O27" s="66"/>
      <c r="P27" s="65"/>
      <c r="Q27" s="66"/>
    </row>
    <row r="28" spans="2:17" ht="15.75" customHeight="1" x14ac:dyDescent="0.2">
      <c r="B28" s="42"/>
      <c r="C28" s="39"/>
      <c r="D28" s="39"/>
      <c r="E28" s="43"/>
      <c r="F28" s="55"/>
      <c r="G28" s="55"/>
      <c r="H28" s="55"/>
      <c r="I28" s="55"/>
      <c r="J28" s="65"/>
      <c r="K28" s="66"/>
      <c r="L28" s="65"/>
      <c r="M28" s="66"/>
      <c r="N28" s="65"/>
      <c r="O28" s="66"/>
      <c r="P28" s="65"/>
      <c r="Q28" s="66"/>
    </row>
    <row r="29" spans="2:17" ht="15.75" customHeight="1" thickBot="1" x14ac:dyDescent="0.25">
      <c r="B29" s="44"/>
      <c r="C29" s="45"/>
      <c r="D29" s="45"/>
      <c r="E29" s="46"/>
      <c r="F29" s="56"/>
      <c r="G29" s="56"/>
      <c r="H29" s="56"/>
      <c r="I29" s="56"/>
      <c r="J29" s="67"/>
      <c r="K29" s="68"/>
      <c r="L29" s="67"/>
      <c r="M29" s="68"/>
      <c r="N29" s="67"/>
      <c r="O29" s="68"/>
      <c r="P29" s="67"/>
      <c r="Q29" s="68"/>
    </row>
  </sheetData>
  <mergeCells count="1">
    <mergeCell ref="T5:U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1C2910D421624480E78C10CB6B88DC" ma:contentTypeVersion="0" ma:contentTypeDescription="Create a new document." ma:contentTypeScope="" ma:versionID="af916415074d09b9c44682579aa171c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71C280-2C00-4CFC-9D3C-F3A15B96354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600FD93-EE45-4428-9913-863DE308DC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7044338-171F-455F-970B-BB6DA8E4C63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DireccionamientoIP</vt:lpstr>
      <vt:lpstr>Subneting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JHONATAN QUINTERO VARELA</cp:lastModifiedBy>
  <dcterms:modified xsi:type="dcterms:W3CDTF">2026-03-23T12:53:41Z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0x0101000C1C2910D421624480E78C10CB6B88DC</vt:lpwstr>
  </property>
</Properties>
</file>